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rwin Breakdown" sheetId="1" state="visible" r:id="rId3"/>
    <sheet name="TeachOS Breakdown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Pulled live from Darwinbox Master API via /api/reports/darwin-breakdown, synced 2026-09-05 05:33 UTC.</t>
        </r>
      </text>
    </comment>
    <comment ref="B14" authorId="0">
      <text>
        <r>
          <rPr>
            <sz val="10"/>
            <rFont val="Arial"/>
            <family val="2"/>
          </rPr>
          <t xml:space="preserve">Should be 0. Non-zero means the buckets don't add up to the department total.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From /api/reports/teachos-breakdown, last successful TeachOS sync. Live re-sync is currently blocked on the deployed app: the BigQuery service account credentials are missing there (see notes tab).</t>
        </r>
      </text>
    </comment>
    <comment ref="B12" authorId="0">
      <text>
        <r>
          <rPr>
            <sz val="10"/>
            <rFont val="Arial"/>
            <family val="2"/>
          </rPr>
          <t xml:space="preserve">Should be 0.</t>
        </r>
      </text>
    </comment>
  </commentList>
</comments>
</file>

<file path=xl/sharedStrings.xml><?xml version="1.0" encoding="utf-8"?>
<sst xmlns="http://schemas.openxmlformats.org/spreadsheetml/2006/main" count="47" uniqueCount="43">
  <si>
    <t xml:space="preserve">Darwin Breakdown — Instructors Department</t>
  </si>
  <si>
    <t xml:space="preserve">Source: Darwinbox Master API, live sync — Faculty Command Center</t>
  </si>
  <si>
    <t xml:space="preserve">Metric</t>
  </si>
  <si>
    <t xml:space="preserve">Count</t>
  </si>
  <si>
    <t xml:space="preserve">% of dept total</t>
  </si>
  <si>
    <t xml:space="preserve">Total in Instructors dept (Darwin)</t>
  </si>
  <si>
    <t xml:space="preserve">Instructors (counted)</t>
  </si>
  <si>
    <t xml:space="preserve">Mentors</t>
  </si>
  <si>
    <t xml:space="preserve">Others</t>
  </si>
  <si>
    <t xml:space="preserve">Ops / Delivery Support</t>
  </si>
  <si>
    <t xml:space="preserve">Excluded</t>
  </si>
  <si>
    <t xml:space="preserve">Payroll edge case</t>
  </si>
  <si>
    <t xml:space="preserve">Uncategorized</t>
  </si>
  <si>
    <t xml:space="preserve">Check: Instructors + Mentors + Others = Total</t>
  </si>
  <si>
    <t xml:space="preserve">Instructors by subject area</t>
  </si>
  <si>
    <t xml:space="preserve">Subject area</t>
  </si>
  <si>
    <t xml:space="preserve">% of instructors</t>
  </si>
  <si>
    <t xml:space="preserve">Frontend</t>
  </si>
  <si>
    <t xml:space="preserve">Backend</t>
  </si>
  <si>
    <t xml:space="preserve">English</t>
  </si>
  <si>
    <t xml:space="preserve">Aptitude</t>
  </si>
  <si>
    <t xml:space="preserve">GenAI</t>
  </si>
  <si>
    <t xml:space="preserve">Math</t>
  </si>
  <si>
    <t xml:space="preserve">DSA</t>
  </si>
  <si>
    <t xml:space="preserve">Interdisciplinary &amp; Applied Sciences</t>
  </si>
  <si>
    <t xml:space="preserve">Artificial Intelligence &amp; Emerging Technologies</t>
  </si>
  <si>
    <t xml:space="preserve">Total</t>
  </si>
  <si>
    <t xml:space="preserve">TeachOS Breakdown — Active Instructors</t>
  </si>
  <si>
    <t xml:space="preserve">Source: BigQuery niat_instructor_details — last successful sync (see note below)</t>
  </si>
  <si>
    <t xml:space="preserve">% of TeachOS active</t>
  </si>
  <si>
    <t xml:space="preserve">TeachOS active count</t>
  </si>
  <si>
    <t xml:space="preserve">Matched with Darwin</t>
  </si>
  <si>
    <t xml:space="preserve">Not mapped</t>
  </si>
  <si>
    <t xml:space="preserve">Other department</t>
  </si>
  <si>
    <t xml:space="preserve">Payroll converted</t>
  </si>
  <si>
    <t xml:space="preserve">Check: Matched + Not mapped = Total</t>
  </si>
  <si>
    <t xml:space="preserve">Notes</t>
  </si>
  <si>
    <t xml:space="preserve">Pulled from the Faculty Command Center app (instructor-department-crm-instructorcentr.replit.app) on 2026-09-05.</t>
  </si>
  <si>
    <t xml:space="preserve">Darwin Breakdown tab: refreshed via a live Darwinbox Master API sync triggered 2026-09-05 05:33 UTC. These numbers are current as of that sync.</t>
  </si>
  <si>
    <t xml:space="preserve">TeachOS Breakdown tab: reflects the LAST SUCCESSFUL TeachOS sync, not a live pull. A live re-sync attempted 2026-09-05 05:33 UTC failed with:</t>
  </si>
  <si>
    <t xml:space="preserve">  "The file at ./bigquery-service-account.json does not exist" (the deployed server is missing its BigQuery credentials).</t>
  </si>
  <si>
    <t xml:space="preserve">Fix (for whoever manages the Replit deployment): add a Secret named GOOGLE_APPLICATION_CREDENTIALS_JSON containing the full contents of the BigQuery service account JSON key. The connector code already checks for this secret before falling back to the missing file path — no code change needed.</t>
  </si>
  <si>
    <t xml:space="preserve">Blue text = a number pulled directly from the app's API. Black text = a formula computed from those inputs (totals, percentages, and consistency checks).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</si>
</sst>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1B6F5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F5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585</v>
      </c>
      <c r="C5" s="6" t="n">
        <f aca="false">B5/B5</f>
        <v>1</v>
      </c>
    </row>
    <row r="6" customFormat="false" ht="15" hidden="false" customHeight="false" outlineLevel="0" collapsed="false">
      <c r="A6" s="7" t="s">
        <v>6</v>
      </c>
      <c r="B6" s="5" t="n">
        <v>463</v>
      </c>
      <c r="C6" s="6" t="n">
        <f aca="false">B6/B5</f>
        <v>0.791452991452991</v>
      </c>
    </row>
    <row r="7" customFormat="false" ht="15" hidden="false" customHeight="false" outlineLevel="0" collapsed="false">
      <c r="A7" s="7" t="s">
        <v>7</v>
      </c>
      <c r="B7" s="5" t="n">
        <v>90</v>
      </c>
      <c r="C7" s="6" t="n">
        <f aca="false">B7/B5</f>
        <v>0.153846153846154</v>
      </c>
    </row>
    <row r="8" customFormat="false" ht="15" hidden="false" customHeight="false" outlineLevel="0" collapsed="false">
      <c r="A8" s="7" t="s">
        <v>8</v>
      </c>
      <c r="B8" s="8" t="n">
        <f aca="false">SUM(B9:B12)</f>
        <v>32</v>
      </c>
      <c r="C8" s="6" t="n">
        <f aca="false">B8/B5</f>
        <v>0.0547008547008547</v>
      </c>
    </row>
    <row r="9" customFormat="false" ht="15" hidden="false" customHeight="false" outlineLevel="0" collapsed="false">
      <c r="A9" s="9" t="s">
        <v>9</v>
      </c>
      <c r="B9" s="5" t="n">
        <v>32</v>
      </c>
      <c r="C9" s="6" t="n">
        <f aca="false">B9/B5</f>
        <v>0.0547008547008547</v>
      </c>
    </row>
    <row r="10" customFormat="false" ht="15" hidden="false" customHeight="false" outlineLevel="0" collapsed="false">
      <c r="A10" s="9" t="s">
        <v>10</v>
      </c>
      <c r="B10" s="5" t="n">
        <v>0</v>
      </c>
      <c r="C10" s="6" t="n">
        <f aca="false">B10/B5</f>
        <v>0</v>
      </c>
    </row>
    <row r="11" customFormat="false" ht="15" hidden="false" customHeight="false" outlineLevel="0" collapsed="false">
      <c r="A11" s="9" t="s">
        <v>11</v>
      </c>
      <c r="B11" s="5" t="n">
        <v>0</v>
      </c>
      <c r="C11" s="6" t="n">
        <f aca="false">B11/B5</f>
        <v>0</v>
      </c>
    </row>
    <row r="12" customFormat="false" ht="15" hidden="false" customHeight="false" outlineLevel="0" collapsed="false">
      <c r="A12" s="9" t="s">
        <v>12</v>
      </c>
      <c r="B12" s="5" t="n">
        <v>0</v>
      </c>
      <c r="C12" s="6" t="n">
        <f aca="false">B12/B5</f>
        <v>0</v>
      </c>
    </row>
    <row r="14" customFormat="false" ht="15" hidden="false" customHeight="false" outlineLevel="0" collapsed="false">
      <c r="A14" s="4" t="s">
        <v>13</v>
      </c>
      <c r="B14" s="10" t="n">
        <f aca="false">B6+B7+B8-B5</f>
        <v>0</v>
      </c>
    </row>
    <row r="16" customFormat="false" ht="17.35" hidden="false" customHeight="false" outlineLevel="0" collapsed="false">
      <c r="A16" s="1" t="s">
        <v>14</v>
      </c>
      <c r="B16" s="1"/>
      <c r="C16" s="1"/>
    </row>
    <row r="17" customFormat="false" ht="15" hidden="false" customHeight="false" outlineLevel="0" collapsed="false">
      <c r="A17" s="3" t="s">
        <v>15</v>
      </c>
      <c r="B17" s="3" t="s">
        <v>3</v>
      </c>
      <c r="C17" s="3" t="s">
        <v>16</v>
      </c>
    </row>
    <row r="18" customFormat="false" ht="15" hidden="false" customHeight="false" outlineLevel="0" collapsed="false">
      <c r="A18" s="7" t="s">
        <v>17</v>
      </c>
      <c r="B18" s="5" t="n">
        <v>162</v>
      </c>
      <c r="C18" s="6" t="n">
        <f aca="false">B18/B6</f>
        <v>0.349892008639309</v>
      </c>
    </row>
    <row r="19" customFormat="false" ht="15" hidden="false" customHeight="false" outlineLevel="0" collapsed="false">
      <c r="A19" s="7" t="s">
        <v>18</v>
      </c>
      <c r="B19" s="5" t="n">
        <v>78</v>
      </c>
      <c r="C19" s="6" t="n">
        <f aca="false">B19/B6</f>
        <v>0.168466522678186</v>
      </c>
    </row>
    <row r="20" customFormat="false" ht="15" hidden="false" customHeight="false" outlineLevel="0" collapsed="false">
      <c r="A20" s="7" t="s">
        <v>19</v>
      </c>
      <c r="B20" s="5" t="n">
        <v>52</v>
      </c>
      <c r="C20" s="6" t="n">
        <f aca="false">B20/B6</f>
        <v>0.11231101511879</v>
      </c>
    </row>
    <row r="21" customFormat="false" ht="15" hidden="false" customHeight="false" outlineLevel="0" collapsed="false">
      <c r="A21" s="7" t="s">
        <v>20</v>
      </c>
      <c r="B21" s="5" t="n">
        <v>51</v>
      </c>
      <c r="C21" s="6" t="n">
        <f aca="false">B21/B6</f>
        <v>0.110151187904968</v>
      </c>
    </row>
    <row r="22" customFormat="false" ht="15" hidden="false" customHeight="false" outlineLevel="0" collapsed="false">
      <c r="A22" s="7" t="s">
        <v>21</v>
      </c>
      <c r="B22" s="5" t="n">
        <v>38</v>
      </c>
      <c r="C22" s="6" t="n">
        <f aca="false">B22/B6</f>
        <v>0.08207343412527</v>
      </c>
    </row>
    <row r="23" customFormat="false" ht="15" hidden="false" customHeight="false" outlineLevel="0" collapsed="false">
      <c r="A23" s="7" t="s">
        <v>22</v>
      </c>
      <c r="B23" s="5" t="n">
        <v>38</v>
      </c>
      <c r="C23" s="6" t="n">
        <f aca="false">B23/B6</f>
        <v>0.08207343412527</v>
      </c>
    </row>
    <row r="24" customFormat="false" ht="15" hidden="false" customHeight="false" outlineLevel="0" collapsed="false">
      <c r="A24" s="7" t="s">
        <v>23</v>
      </c>
      <c r="B24" s="5" t="n">
        <v>37</v>
      </c>
      <c r="C24" s="6" t="n">
        <f aca="false">B24/B6</f>
        <v>0.0799136069114471</v>
      </c>
    </row>
    <row r="25" customFormat="false" ht="15" hidden="false" customHeight="false" outlineLevel="0" collapsed="false">
      <c r="A25" s="7" t="s">
        <v>24</v>
      </c>
      <c r="B25" s="5" t="n">
        <v>6</v>
      </c>
      <c r="C25" s="6" t="n">
        <f aca="false">B25/B6</f>
        <v>0.0129589632829374</v>
      </c>
    </row>
    <row r="26" customFormat="false" ht="15" hidden="false" customHeight="false" outlineLevel="0" collapsed="false">
      <c r="A26" s="7" t="s">
        <v>25</v>
      </c>
      <c r="B26" s="5" t="n">
        <v>1</v>
      </c>
      <c r="C26" s="6" t="n">
        <f aca="false">B26/B6</f>
        <v>0.00215982721382289</v>
      </c>
    </row>
    <row r="27" customFormat="false" ht="15" hidden="false" customHeight="false" outlineLevel="0" collapsed="false">
      <c r="A27" s="4" t="s">
        <v>26</v>
      </c>
      <c r="B27" s="10" t="n">
        <f aca="false">SUM(B18:B26)</f>
        <v>463</v>
      </c>
      <c r="C27" s="6" t="n">
        <f aca="false">B27/B6</f>
        <v>1</v>
      </c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24" hidden="false" customHeight="true" outlineLevel="0" collapsed="false">
      <c r="A1" s="1" t="s">
        <v>27</v>
      </c>
      <c r="B1" s="1"/>
      <c r="C1" s="1"/>
    </row>
    <row r="2" customFormat="false" ht="15" hidden="false" customHeight="false" outlineLevel="0" collapsed="false">
      <c r="A2" s="2" t="s">
        <v>28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29</v>
      </c>
    </row>
    <row r="5" customFormat="false" ht="15" hidden="false" customHeight="false" outlineLevel="0" collapsed="false">
      <c r="A5" s="4" t="s">
        <v>30</v>
      </c>
      <c r="B5" s="5" t="n">
        <v>616</v>
      </c>
      <c r="C5" s="6" t="n">
        <f aca="false">B5/B5</f>
        <v>1</v>
      </c>
    </row>
    <row r="6" customFormat="false" ht="15" hidden="false" customHeight="false" outlineLevel="0" collapsed="false">
      <c r="A6" s="7" t="s">
        <v>31</v>
      </c>
      <c r="B6" s="5" t="n">
        <v>548</v>
      </c>
      <c r="C6" s="6" t="n">
        <f aca="false">B6/B5</f>
        <v>0.88961038961039</v>
      </c>
    </row>
    <row r="7" customFormat="false" ht="15" hidden="false" customHeight="false" outlineLevel="0" collapsed="false">
      <c r="A7" s="7" t="s">
        <v>32</v>
      </c>
      <c r="B7" s="8" t="n">
        <f aca="false">SUM(B8:B10)</f>
        <v>68</v>
      </c>
      <c r="C7" s="6" t="n">
        <f aca="false">B7/B5</f>
        <v>0.11038961038961</v>
      </c>
    </row>
    <row r="8" customFormat="false" ht="15" hidden="false" customHeight="false" outlineLevel="0" collapsed="false">
      <c r="A8" s="9" t="s">
        <v>33</v>
      </c>
      <c r="B8" s="5" t="n">
        <v>11</v>
      </c>
      <c r="C8" s="6" t="n">
        <f aca="false">B8/B5</f>
        <v>0.0178571428571429</v>
      </c>
    </row>
    <row r="9" customFormat="false" ht="15" hidden="false" customHeight="false" outlineLevel="0" collapsed="false">
      <c r="A9" s="9" t="s">
        <v>34</v>
      </c>
      <c r="B9" s="5" t="n">
        <v>57</v>
      </c>
      <c r="C9" s="6" t="n">
        <f aca="false">B9/B5</f>
        <v>0.0925324675324675</v>
      </c>
    </row>
    <row r="10" customFormat="false" ht="15" hidden="false" customHeight="false" outlineLevel="0" collapsed="false">
      <c r="A10" s="9" t="s">
        <v>10</v>
      </c>
      <c r="B10" s="5" t="n">
        <v>0</v>
      </c>
      <c r="C10" s="6" t="n">
        <f aca="false">B10/B5</f>
        <v>0</v>
      </c>
    </row>
    <row r="12" customFormat="false" ht="15" hidden="false" customHeight="false" outlineLevel="0" collapsed="false">
      <c r="A12" s="4" t="s">
        <v>35</v>
      </c>
      <c r="B12" s="10" t="n">
        <f aca="false">B6+B7-B5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11" t="s">
        <v>36</v>
      </c>
    </row>
    <row r="3" customFormat="false" ht="15" hidden="false" customHeight="false" outlineLevel="0" collapsed="false">
      <c r="A3" s="12"/>
    </row>
    <row r="4" customFormat="false" ht="15" hidden="false" customHeight="false" outlineLevel="0" collapsed="false">
      <c r="A4" s="12" t="s">
        <v>37</v>
      </c>
    </row>
    <row r="5" customFormat="false" ht="15" hidden="false" customHeight="false" outlineLevel="0" collapsed="false">
      <c r="A5" s="12"/>
    </row>
    <row r="6" customFormat="false" ht="23.85" hidden="false" customHeight="false" outlineLevel="0" collapsed="false">
      <c r="A6" s="12" t="s">
        <v>38</v>
      </c>
    </row>
    <row r="7" customFormat="false" ht="15" hidden="false" customHeight="false" outlineLevel="0" collapsed="false">
      <c r="A7" s="12"/>
    </row>
    <row r="8" customFormat="false" ht="23.85" hidden="false" customHeight="false" outlineLevel="0" collapsed="false">
      <c r="A8" s="13" t="s">
        <v>39</v>
      </c>
    </row>
    <row r="9" customFormat="false" ht="15" hidden="false" customHeight="false" outlineLevel="0" collapsed="false">
      <c r="A9" s="12" t="s">
        <v>40</v>
      </c>
    </row>
    <row r="10" customFormat="false" ht="15" hidden="false" customHeight="false" outlineLevel="0" collapsed="false">
      <c r="A10" s="12"/>
    </row>
    <row r="11" customFormat="false" ht="35.05" hidden="false" customHeight="false" outlineLevel="0" collapsed="false">
      <c r="A11" s="12" t="s">
        <v>41</v>
      </c>
    </row>
    <row r="12" customFormat="false" ht="15" hidden="false" customHeight="false" outlineLevel="0" collapsed="false">
      <c r="A12" s="12"/>
    </row>
    <row r="13" customFormat="false" ht="23.85" hidden="false" customHeight="false" outlineLevel="0" collapsed="false">
      <c r="A13" s="1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2026-09-05T05:46:33Z</dcterms:created>
  <dc:creator>openpyxl</dc:creator>
  <dc:description/>
  <dc:language>en-US</dc:language>
  <cp:lastModifiedBy/>
  <dcterms:modified xsi:type="dcterms:W3CDTF">2026-09-05T05:46:33Z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