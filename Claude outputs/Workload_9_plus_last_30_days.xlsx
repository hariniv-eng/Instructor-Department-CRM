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load 9+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Avg Demo / AI hrs comes from the app as is: it is worked out from exact recorded seconds (demo hrs / demo evaluations + AI hrs / AI evaluations), so recomputing it from the rounded hours here can differ by 0.01.</t>
        </r>
      </text>
    </comment>
    <comment ref="K5" authorId="0">
      <text>
        <r>
          <rPr>
            <sz val="10"/>
            <rFont val="Arial"/>
            <family val="2"/>
          </rPr>
          <t xml:space="preserve">Lecture + Practice + Other hours of completed sessions in the 30 days.</t>
        </r>
      </text>
    </comment>
    <comment ref="Q5" authorId="0">
      <text>
        <r>
          <rPr>
            <sz val="10"/>
            <rFont val="Arial"/>
            <family val="2"/>
          </rPr>
          <t xml:space="preserve">Time spent on their own training / learning units (BigQuery time-spent view) in the 30 days.</t>
        </r>
      </text>
    </comment>
  </commentList>
</comments>
</file>

<file path=xl/sharedStrings.xml><?xml version="1.0" encoding="utf-8"?>
<sst xmlns="http://schemas.openxmlformats.org/spreadsheetml/2006/main" count="109" uniqueCount="79">
  <si>
    <t xml:space="preserve">Instructors and mentors with Workload 9 or more — last 30 days (18 Sep – 17 Oct 2026)</t>
  </si>
  <si>
    <t xml:space="preserve">Source: Faculty Command Center, _tmp_high_workload.ts run 17 Oct 2026 (Contribution-tab population: 607 instructors + mentors; 11 at 9+). Workload = Teaching hrs/day + Learning hrs/day + Avg Demo/AI hrs.</t>
  </si>
  <si>
    <t xml:space="preserve">Employee</t>
  </si>
  <si>
    <t xml:space="preserve">Workload</t>
  </si>
  <si>
    <t xml:space="preserve">Teaching (sessions)</t>
  </si>
  <si>
    <t xml:space="preserve">Learning / training</t>
  </si>
  <si>
    <t xml:space="preserve">AI demos and assessments</t>
  </si>
  <si>
    <t xml:space="preserve">Employee name</t>
  </si>
  <si>
    <t xml:space="preserve">Employee ID</t>
  </si>
  <si>
    <t xml:space="preserve">Role</t>
  </si>
  <si>
    <t xml:space="preserve">Subject</t>
  </si>
  <si>
    <t xml:space="preserve">Product</t>
  </si>
  <si>
    <t xml:space="preserve">Capability Manager</t>
  </si>
  <si>
    <t xml:space="preserve">Teaching hrs / day</t>
  </si>
  <si>
    <t xml:space="preserve">Learning hrs / day</t>
  </si>
  <si>
    <t xml:space="preserve">Avg Demo / AI hrs</t>
  </si>
  <si>
    <t xml:space="preserve">Teaching hrs (total)</t>
  </si>
  <si>
    <t xml:space="preserve">Lecture hrs</t>
  </si>
  <si>
    <t xml:space="preserve">Practice hrs</t>
  </si>
  <si>
    <t xml:space="preserve">Other hrs</t>
  </si>
  <si>
    <t xml:space="preserve">Sessions</t>
  </si>
  <si>
    <t xml:space="preserve">Teaching days</t>
  </si>
  <si>
    <t xml:space="preserve">Learning hrs (total)</t>
  </si>
  <si>
    <t xml:space="preserve">Learning days</t>
  </si>
  <si>
    <t xml:space="preserve">Demo hrs</t>
  </si>
  <si>
    <t xml:space="preserve">Demo evaluations</t>
  </si>
  <si>
    <t xml:space="preserve">AI assessment hrs</t>
  </si>
  <si>
    <t xml:space="preserve">AI evaluations</t>
  </si>
  <si>
    <t xml:space="preserve">Demo + AI hrs (total)</t>
  </si>
  <si>
    <t xml:space="preserve">Prashant Sahu</t>
  </si>
  <si>
    <t xml:space="preserve">NW2000469</t>
  </si>
  <si>
    <t xml:space="preserve">Instructor</t>
  </si>
  <si>
    <t xml:space="preserve">Artificial Intelligence &amp; Emerging Technologies</t>
  </si>
  <si>
    <t xml:space="preserve">NIAT (Deployed)</t>
  </si>
  <si>
    <t xml:space="preserve">Sigatapu Sai Sankar</t>
  </si>
  <si>
    <t xml:space="preserve">Harshitha</t>
  </si>
  <si>
    <t xml:space="preserve">NW0005581</t>
  </si>
  <si>
    <t xml:space="preserve">Frontend</t>
  </si>
  <si>
    <t xml:space="preserve">Intensive</t>
  </si>
  <si>
    <t xml:space="preserve">Akhilendar Reddy</t>
  </si>
  <si>
    <t xml:space="preserve">Y Jaswanth Kumar</t>
  </si>
  <si>
    <t xml:space="preserve">NW2000589</t>
  </si>
  <si>
    <t xml:space="preserve">Nanthini S</t>
  </si>
  <si>
    <t xml:space="preserve">NW0004487</t>
  </si>
  <si>
    <t xml:space="preserve">GenAI</t>
  </si>
  <si>
    <t xml:space="preserve">Dharavath Jayanth</t>
  </si>
  <si>
    <t xml:space="preserve">Afsha</t>
  </si>
  <si>
    <t xml:space="preserve">NW0005636</t>
  </si>
  <si>
    <t xml:space="preserve">Chiluka Mounika</t>
  </si>
  <si>
    <t xml:space="preserve">NW2000477</t>
  </si>
  <si>
    <t xml:space="preserve">Backend</t>
  </si>
  <si>
    <t xml:space="preserve">Shaik Mohammed Pasha</t>
  </si>
  <si>
    <t xml:space="preserve">PIRADI BHASKAR SATYA DURGA GANESH</t>
  </si>
  <si>
    <t xml:space="preserve">NW2000662</t>
  </si>
  <si>
    <t xml:space="preserve">Mentor</t>
  </si>
  <si>
    <t xml:space="preserve">Pradeep Jat</t>
  </si>
  <si>
    <t xml:space="preserve">Harika Kurpathi</t>
  </si>
  <si>
    <t xml:space="preserve">NW0005580</t>
  </si>
  <si>
    <t xml:space="preserve">Ashutosh Suryawanshi</t>
  </si>
  <si>
    <t xml:space="preserve">NW2000539</t>
  </si>
  <si>
    <t xml:space="preserve">Ameena</t>
  </si>
  <si>
    <t xml:space="preserve">NW0005637</t>
  </si>
  <si>
    <t xml:space="preserve">NOOLI SIRI</t>
  </si>
  <si>
    <t xml:space="preserve">NW2000725</t>
  </si>
  <si>
    <t xml:space="preserve">Aptitude</t>
  </si>
  <si>
    <t xml:space="preserve">Voppangi Sai Prasanna</t>
  </si>
  <si>
    <t xml:space="preserve">Average (11 people)</t>
  </si>
  <si>
    <t xml:space="preserve">Row above: averages for the four Workload columns, totals for the rest.</t>
  </si>
  <si>
    <t xml:space="preserve">How the numbers are worked out</t>
  </si>
  <si>
    <t xml:space="preserve">Period: last 30 days, 18 Sep – 17 Oct 2026 (IST). Same people and same formula as the Contribution tab.</t>
  </si>
  <si>
    <t xml:space="preserve">Teaching hrs / day = (Lecture + Practice + Other hours) ÷ days with a completed session, rounded to 1 decimal.</t>
  </si>
  <si>
    <t xml:space="preserve">Learning hrs / day = learning / training hours ÷ days with learning activity, rounded to 1 decimal.</t>
  </si>
  <si>
    <t xml:space="preserve">Avg Demo / AI hrs = demo hours ÷ demo evaluations + AI-assessment hours ÷ AI evaluations (0 when none).</t>
  </si>
  <si>
    <t xml:space="preserve">Workload = the three added together.</t>
  </si>
  <si>
    <t xml:space="preserve">What stands out</t>
  </si>
  <si>
    <t xml:space="preserve">Learning time is the biggest part of every workload here: 3.2 – 11.2 hrs/day, against 2.7 – 5 teaching hrs/day.</t>
  </si>
  <si>
    <t xml:space="preserve">Learning hours come from the BigQuery time-spent view. Very high values (e.g. 291 hrs in 26 days) may include time a course was left open — worth checking before acting on them.</t>
  </si>
  <si>
    <t xml:space="preserve">5 of the 11 are Intensive Frontend instructors under Akhilendar Reddy.</t>
  </si>
  <si>
    <t xml:space="preserve">Only 3 of the 11 had any demo / AI-assessment evaluation in the period.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</si>
</sst>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A6B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6E9EE"/>
        <bgColor rgb="FFEDE7F6"/>
      </patternFill>
    </fill>
    <fill>
      <patternFill patternType="solid">
        <fgColor rgb="FFDCE7F7"/>
        <bgColor rgb="FFE6E9EE"/>
      </patternFill>
    </fill>
    <fill>
      <patternFill patternType="solid">
        <fgColor rgb="FFE3EEF9"/>
        <bgColor rgb="FFE6E9EE"/>
      </patternFill>
    </fill>
    <fill>
      <patternFill patternType="solid">
        <fgColor rgb="FFFBEED3"/>
        <bgColor rgb="FFFFF3D6"/>
      </patternFill>
    </fill>
    <fill>
      <patternFill patternType="solid">
        <fgColor rgb="FFEDE7F6"/>
        <bgColor rgb="FFE6E9EE"/>
      </patternFill>
    </fill>
    <fill>
      <patternFill patternType="solid">
        <fgColor rgb="FF0E1A2B"/>
        <bgColor rgb="FF000000"/>
      </patternFill>
    </fill>
    <fill>
      <patternFill patternType="solid">
        <fgColor rgb="FFFFF3D6"/>
        <bgColor rgb="FFFBEED3"/>
      </patternFill>
    </fill>
    <fill>
      <patternFill patternType="solid">
        <fgColor rgb="FFF1F3F6"/>
        <bgColor rgb="FFE3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1F3F6"/>
      <rgbColor rgb="FF808080"/>
      <rgbColor rgb="FF9999FF"/>
      <rgbColor rgb="FF993366"/>
      <rgbColor rgb="FFFFF3D6"/>
      <rgbColor rgb="FFE3EEF9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F7"/>
      <rgbColor rgb="FFE6E9EE"/>
      <rgbColor rgb="FFFBEED3"/>
      <rgbColor rgb="FF99CCFF"/>
      <rgbColor rgb="FFFF99CC"/>
      <rgbColor rgb="FFCC99FF"/>
      <rgbColor rgb="FFEDE7F6"/>
      <rgbColor rgb="FF3366FF"/>
      <rgbColor rgb="FF33CCCC"/>
      <rgbColor rgb="FF99CC00"/>
      <rgbColor rgb="FFFFCC00"/>
      <rgbColor rgb="FFFF9900"/>
      <rgbColor rgb="FFFF6600"/>
      <rgbColor rgb="FF5A6B80"/>
      <rgbColor rgb="FF969696"/>
      <rgbColor rgb="FF003366"/>
      <rgbColor rgb="FF339966"/>
      <rgbColor rgb="FF0E1A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2"/>
    <col collapsed="false" customWidth="true" hidden="false" outlineLevel="0" max="16" min="12" style="0" width="10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2" min="20" style="0" width="11"/>
    <col collapsed="false" customWidth="true" hidden="false" outlineLevel="0" max="23" min="23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4" t="s">
        <v>3</v>
      </c>
      <c r="H4" s="4"/>
      <c r="I4" s="4"/>
      <c r="J4" s="4"/>
      <c r="K4" s="5" t="s">
        <v>4</v>
      </c>
      <c r="L4" s="5"/>
      <c r="M4" s="5"/>
      <c r="N4" s="5"/>
      <c r="O4" s="5"/>
      <c r="P4" s="5"/>
      <c r="Q4" s="6" t="s">
        <v>5</v>
      </c>
      <c r="R4" s="6"/>
      <c r="S4" s="7" t="s">
        <v>6</v>
      </c>
      <c r="T4" s="7"/>
      <c r="U4" s="7"/>
      <c r="V4" s="7"/>
      <c r="W4" s="7"/>
    </row>
    <row r="5" customFormat="false" ht="31.5" hidden="false" customHeight="true" outlineLevel="0" collapsed="false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3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19</v>
      </c>
      <c r="O5" s="8" t="s">
        <v>20</v>
      </c>
      <c r="P5" s="8" t="s">
        <v>21</v>
      </c>
      <c r="Q5" s="8" t="s">
        <v>22</v>
      </c>
      <c r="R5" s="8" t="s">
        <v>23</v>
      </c>
      <c r="S5" s="8" t="s">
        <v>24</v>
      </c>
      <c r="T5" s="8" t="s">
        <v>25</v>
      </c>
      <c r="U5" s="8" t="s">
        <v>26</v>
      </c>
      <c r="V5" s="8" t="s">
        <v>27</v>
      </c>
      <c r="W5" s="8" t="s">
        <v>28</v>
      </c>
    </row>
    <row r="6" customFormat="false" ht="23.85" hidden="false" customHeight="false" outlineLevel="0" collapsed="false">
      <c r="A6" s="9" t="s">
        <v>29</v>
      </c>
      <c r="B6" s="9" t="s">
        <v>30</v>
      </c>
      <c r="C6" s="9" t="s">
        <v>31</v>
      </c>
      <c r="D6" s="10" t="s">
        <v>32</v>
      </c>
      <c r="E6" s="9" t="s">
        <v>33</v>
      </c>
      <c r="F6" s="9" t="s">
        <v>34</v>
      </c>
      <c r="G6" s="11" t="n">
        <f aca="false">H6+I6+J6</f>
        <v>14.2</v>
      </c>
      <c r="H6" s="12" t="n">
        <f aca="false">IF(P6&gt;0,ROUND(K6/P6,1),0)</f>
        <v>3</v>
      </c>
      <c r="I6" s="12" t="n">
        <f aca="false">IF(R6&gt;0,ROUND(Q6/R6,1),0)</f>
        <v>11.2</v>
      </c>
      <c r="J6" s="13" t="n">
        <v>0</v>
      </c>
      <c r="K6" s="12" t="n">
        <f aca="false">L6+M6+N6</f>
        <v>48</v>
      </c>
      <c r="L6" s="12" t="n">
        <v>48</v>
      </c>
      <c r="M6" s="12" t="n">
        <v>0</v>
      </c>
      <c r="N6" s="12" t="n">
        <v>0</v>
      </c>
      <c r="O6" s="14" t="n">
        <v>48</v>
      </c>
      <c r="P6" s="14" t="n">
        <v>16</v>
      </c>
      <c r="Q6" s="12" t="n">
        <v>291.3</v>
      </c>
      <c r="R6" s="14" t="n">
        <v>26</v>
      </c>
      <c r="S6" s="12" t="n">
        <v>0</v>
      </c>
      <c r="T6" s="14" t="n">
        <v>0</v>
      </c>
      <c r="U6" s="12" t="n">
        <v>0</v>
      </c>
      <c r="V6" s="14" t="n">
        <v>0</v>
      </c>
      <c r="W6" s="12" t="n">
        <f aca="false">S6+U6</f>
        <v>0</v>
      </c>
    </row>
    <row r="7" customFormat="false" ht="15" hidden="false" customHeight="false" outlineLevel="0" collapsed="false">
      <c r="A7" s="9" t="s">
        <v>35</v>
      </c>
      <c r="B7" s="9" t="s">
        <v>36</v>
      </c>
      <c r="C7" s="9" t="s">
        <v>31</v>
      </c>
      <c r="D7" s="10" t="s">
        <v>37</v>
      </c>
      <c r="E7" s="9" t="s">
        <v>38</v>
      </c>
      <c r="F7" s="9" t="s">
        <v>39</v>
      </c>
      <c r="G7" s="11" t="n">
        <f aca="false">H7+I7+J7</f>
        <v>13.6</v>
      </c>
      <c r="H7" s="12" t="n">
        <f aca="false">IF(P7&gt;0,ROUND(K7/P7,1),0)</f>
        <v>3.3</v>
      </c>
      <c r="I7" s="12" t="n">
        <f aca="false">IF(R7&gt;0,ROUND(Q7/R7,1),0)</f>
        <v>10.3</v>
      </c>
      <c r="J7" s="13" t="n">
        <v>0</v>
      </c>
      <c r="K7" s="12" t="n">
        <f aca="false">L7+M7+N7</f>
        <v>76</v>
      </c>
      <c r="L7" s="12" t="n">
        <v>47</v>
      </c>
      <c r="M7" s="12" t="n">
        <v>0</v>
      </c>
      <c r="N7" s="12" t="n">
        <v>29</v>
      </c>
      <c r="O7" s="14" t="n">
        <v>58</v>
      </c>
      <c r="P7" s="14" t="n">
        <v>23</v>
      </c>
      <c r="Q7" s="12" t="n">
        <v>258.5</v>
      </c>
      <c r="R7" s="14" t="n">
        <v>25</v>
      </c>
      <c r="S7" s="12" t="n">
        <v>0</v>
      </c>
      <c r="T7" s="14" t="n">
        <v>0</v>
      </c>
      <c r="U7" s="12" t="n">
        <v>0</v>
      </c>
      <c r="V7" s="14" t="n">
        <v>0</v>
      </c>
      <c r="W7" s="12" t="n">
        <f aca="false">S7+U7</f>
        <v>0</v>
      </c>
    </row>
    <row r="8" customFormat="false" ht="15" hidden="false" customHeight="false" outlineLevel="0" collapsed="false">
      <c r="A8" s="9" t="s">
        <v>40</v>
      </c>
      <c r="B8" s="9" t="s">
        <v>41</v>
      </c>
      <c r="C8" s="9" t="s">
        <v>31</v>
      </c>
      <c r="D8" s="10" t="s">
        <v>37</v>
      </c>
      <c r="E8" s="9" t="s">
        <v>38</v>
      </c>
      <c r="F8" s="9" t="s">
        <v>39</v>
      </c>
      <c r="G8" s="11" t="n">
        <f aca="false">H8+I8+J8</f>
        <v>13</v>
      </c>
      <c r="H8" s="12" t="n">
        <f aca="false">IF(P8&gt;0,ROUND(K8/P8,1),0)</f>
        <v>4.9</v>
      </c>
      <c r="I8" s="12" t="n">
        <f aca="false">IF(R8&gt;0,ROUND(Q8/R8,1),0)</f>
        <v>8.1</v>
      </c>
      <c r="J8" s="13" t="n">
        <v>0</v>
      </c>
      <c r="K8" s="12" t="n">
        <f aca="false">L8+M8+N8</f>
        <v>108.3</v>
      </c>
      <c r="L8" s="12" t="n">
        <v>42</v>
      </c>
      <c r="M8" s="12" t="n">
        <v>0</v>
      </c>
      <c r="N8" s="12" t="n">
        <v>66.3</v>
      </c>
      <c r="O8" s="14" t="n">
        <v>62</v>
      </c>
      <c r="P8" s="14" t="n">
        <v>22</v>
      </c>
      <c r="Q8" s="12" t="n">
        <v>201.9</v>
      </c>
      <c r="R8" s="14" t="n">
        <v>25</v>
      </c>
      <c r="S8" s="12" t="n">
        <v>0</v>
      </c>
      <c r="T8" s="14" t="n">
        <v>0</v>
      </c>
      <c r="U8" s="12" t="n">
        <v>0</v>
      </c>
      <c r="V8" s="14" t="n">
        <v>0</v>
      </c>
      <c r="W8" s="12" t="n">
        <f aca="false">S8+U8</f>
        <v>0</v>
      </c>
    </row>
    <row r="9" customFormat="false" ht="15" hidden="false" customHeight="false" outlineLevel="0" collapsed="false">
      <c r="A9" s="9" t="s">
        <v>42</v>
      </c>
      <c r="B9" s="9" t="s">
        <v>43</v>
      </c>
      <c r="C9" s="9" t="s">
        <v>31</v>
      </c>
      <c r="D9" s="10" t="s">
        <v>44</v>
      </c>
      <c r="E9" s="9" t="s">
        <v>33</v>
      </c>
      <c r="F9" s="9" t="s">
        <v>45</v>
      </c>
      <c r="G9" s="11" t="n">
        <f aca="false">H9+I9+J9</f>
        <v>11.2</v>
      </c>
      <c r="H9" s="12" t="n">
        <f aca="false">IF(P9&gt;0,ROUND(K9/P9,1),0)</f>
        <v>3.2</v>
      </c>
      <c r="I9" s="12" t="n">
        <f aca="false">IF(R9&gt;0,ROUND(Q9/R9,1),0)</f>
        <v>8</v>
      </c>
      <c r="J9" s="13" t="n">
        <v>0</v>
      </c>
      <c r="K9" s="12" t="n">
        <f aca="false">L9+M9+N9</f>
        <v>38</v>
      </c>
      <c r="L9" s="12" t="n">
        <v>29</v>
      </c>
      <c r="M9" s="12" t="n">
        <v>0</v>
      </c>
      <c r="N9" s="12" t="n">
        <v>9</v>
      </c>
      <c r="O9" s="14" t="n">
        <v>37</v>
      </c>
      <c r="P9" s="14" t="n">
        <v>12</v>
      </c>
      <c r="Q9" s="12" t="n">
        <v>144.8</v>
      </c>
      <c r="R9" s="14" t="n">
        <v>18</v>
      </c>
      <c r="S9" s="12" t="n">
        <v>0</v>
      </c>
      <c r="T9" s="14" t="n">
        <v>0</v>
      </c>
      <c r="U9" s="12" t="n">
        <v>0</v>
      </c>
      <c r="V9" s="14" t="n">
        <v>0</v>
      </c>
      <c r="W9" s="12" t="n">
        <f aca="false">S9+U9</f>
        <v>0</v>
      </c>
    </row>
    <row r="10" customFormat="false" ht="15" hidden="false" customHeight="false" outlineLevel="0" collapsed="false">
      <c r="A10" s="9" t="s">
        <v>46</v>
      </c>
      <c r="B10" s="9" t="s">
        <v>47</v>
      </c>
      <c r="C10" s="9" t="s">
        <v>31</v>
      </c>
      <c r="D10" s="10" t="s">
        <v>37</v>
      </c>
      <c r="E10" s="9" t="s">
        <v>38</v>
      </c>
      <c r="F10" s="9" t="s">
        <v>39</v>
      </c>
      <c r="G10" s="11" t="n">
        <f aca="false">H10+I10+J10</f>
        <v>10.9</v>
      </c>
      <c r="H10" s="12" t="n">
        <f aca="false">IF(P10&gt;0,ROUND(K10/P10,1),0)</f>
        <v>2.8</v>
      </c>
      <c r="I10" s="12" t="n">
        <f aca="false">IF(R10&gt;0,ROUND(Q10/R10,1),0)</f>
        <v>8.1</v>
      </c>
      <c r="J10" s="13" t="n">
        <v>0</v>
      </c>
      <c r="K10" s="12" t="n">
        <f aca="false">L10+M10+N10</f>
        <v>54</v>
      </c>
      <c r="L10" s="12" t="n">
        <v>36</v>
      </c>
      <c r="M10" s="12" t="n">
        <v>0</v>
      </c>
      <c r="N10" s="12" t="n">
        <v>18</v>
      </c>
      <c r="O10" s="14" t="n">
        <v>37</v>
      </c>
      <c r="P10" s="14" t="n">
        <v>19</v>
      </c>
      <c r="Q10" s="12" t="n">
        <v>170.1</v>
      </c>
      <c r="R10" s="14" t="n">
        <v>21</v>
      </c>
      <c r="S10" s="12" t="n">
        <v>0</v>
      </c>
      <c r="T10" s="14" t="n">
        <v>0</v>
      </c>
      <c r="U10" s="12" t="n">
        <v>0</v>
      </c>
      <c r="V10" s="14" t="n">
        <v>0</v>
      </c>
      <c r="W10" s="12" t="n">
        <f aca="false">S10+U10</f>
        <v>0</v>
      </c>
    </row>
    <row r="11" customFormat="false" ht="15" hidden="false" customHeight="false" outlineLevel="0" collapsed="false">
      <c r="A11" s="9" t="s">
        <v>48</v>
      </c>
      <c r="B11" s="9" t="s">
        <v>49</v>
      </c>
      <c r="C11" s="9" t="s">
        <v>31</v>
      </c>
      <c r="D11" s="10" t="s">
        <v>50</v>
      </c>
      <c r="E11" s="9" t="s">
        <v>33</v>
      </c>
      <c r="F11" s="9" t="s">
        <v>51</v>
      </c>
      <c r="G11" s="11" t="n">
        <f aca="false">H11+I11+J11</f>
        <v>10.74</v>
      </c>
      <c r="H11" s="12" t="n">
        <f aca="false">IF(P11&gt;0,ROUND(K11/P11,1),0)</f>
        <v>3.6</v>
      </c>
      <c r="I11" s="12" t="n">
        <f aca="false">IF(R11&gt;0,ROUND(Q11/R11,1),0)</f>
        <v>6.4</v>
      </c>
      <c r="J11" s="13" t="n">
        <v>0.74</v>
      </c>
      <c r="K11" s="12" t="n">
        <f aca="false">L11+M11+N11</f>
        <v>79</v>
      </c>
      <c r="L11" s="12" t="n">
        <v>24</v>
      </c>
      <c r="M11" s="12" t="n">
        <v>17</v>
      </c>
      <c r="N11" s="12" t="n">
        <v>38</v>
      </c>
      <c r="O11" s="14" t="n">
        <v>78</v>
      </c>
      <c r="P11" s="14" t="n">
        <v>22</v>
      </c>
      <c r="Q11" s="12" t="n">
        <v>160.4</v>
      </c>
      <c r="R11" s="14" t="n">
        <v>25</v>
      </c>
      <c r="S11" s="12" t="n">
        <v>7.3</v>
      </c>
      <c r="T11" s="14" t="n">
        <v>13</v>
      </c>
      <c r="U11" s="12" t="n">
        <v>1.2</v>
      </c>
      <c r="V11" s="14" t="n">
        <v>7</v>
      </c>
      <c r="W11" s="12" t="n">
        <f aca="false">S11+U11</f>
        <v>8.5</v>
      </c>
    </row>
    <row r="12" customFormat="false" ht="15" hidden="false" customHeight="false" outlineLevel="0" collapsed="false">
      <c r="A12" s="9" t="s">
        <v>52</v>
      </c>
      <c r="B12" s="9" t="s">
        <v>53</v>
      </c>
      <c r="C12" s="9" t="s">
        <v>54</v>
      </c>
      <c r="D12" s="10" t="s">
        <v>37</v>
      </c>
      <c r="E12" s="9" t="s">
        <v>33</v>
      </c>
      <c r="F12" s="9" t="s">
        <v>55</v>
      </c>
      <c r="G12" s="11" t="n">
        <f aca="false">H12+I12+J12</f>
        <v>10.18</v>
      </c>
      <c r="H12" s="12" t="n">
        <f aca="false">IF(P12&gt;0,ROUND(K12/P12,1),0)</f>
        <v>5</v>
      </c>
      <c r="I12" s="12" t="n">
        <f aca="false">IF(R12&gt;0,ROUND(Q12/R12,1),0)</f>
        <v>4.2</v>
      </c>
      <c r="J12" s="13" t="n">
        <v>0.98</v>
      </c>
      <c r="K12" s="12" t="n">
        <f aca="false">L12+M12+N12</f>
        <v>30</v>
      </c>
      <c r="L12" s="12" t="n">
        <v>14</v>
      </c>
      <c r="M12" s="12" t="n">
        <v>0</v>
      </c>
      <c r="N12" s="12" t="n">
        <v>16</v>
      </c>
      <c r="O12" s="14" t="n">
        <v>20</v>
      </c>
      <c r="P12" s="14" t="n">
        <v>6</v>
      </c>
      <c r="Q12" s="12" t="n">
        <v>95.6</v>
      </c>
      <c r="R12" s="14" t="n">
        <v>23</v>
      </c>
      <c r="S12" s="12" t="n">
        <v>0.8</v>
      </c>
      <c r="T12" s="14" t="n">
        <v>1</v>
      </c>
      <c r="U12" s="12" t="n">
        <v>1</v>
      </c>
      <c r="V12" s="14" t="n">
        <v>5</v>
      </c>
      <c r="W12" s="12" t="n">
        <f aca="false">S12+U12</f>
        <v>1.8</v>
      </c>
    </row>
    <row r="13" customFormat="false" ht="15" hidden="false" customHeight="false" outlineLevel="0" collapsed="false">
      <c r="A13" s="9" t="s">
        <v>56</v>
      </c>
      <c r="B13" s="9" t="s">
        <v>57</v>
      </c>
      <c r="C13" s="9" t="s">
        <v>31</v>
      </c>
      <c r="D13" s="10" t="s">
        <v>37</v>
      </c>
      <c r="E13" s="9" t="s">
        <v>38</v>
      </c>
      <c r="F13" s="9" t="s">
        <v>39</v>
      </c>
      <c r="G13" s="11" t="n">
        <f aca="false">H13+I13+J13</f>
        <v>9.4</v>
      </c>
      <c r="H13" s="12" t="n">
        <f aca="false">IF(P13&gt;0,ROUND(K13/P13,1),0)</f>
        <v>2.7</v>
      </c>
      <c r="I13" s="12" t="n">
        <f aca="false">IF(R13&gt;0,ROUND(Q13/R13,1),0)</f>
        <v>6.7</v>
      </c>
      <c r="J13" s="13" t="n">
        <v>0</v>
      </c>
      <c r="K13" s="12" t="n">
        <f aca="false">L13+M13+N13</f>
        <v>61.3</v>
      </c>
      <c r="L13" s="12" t="n">
        <v>46.3</v>
      </c>
      <c r="M13" s="12" t="n">
        <v>0</v>
      </c>
      <c r="N13" s="12" t="n">
        <v>15</v>
      </c>
      <c r="O13" s="14" t="n">
        <v>52</v>
      </c>
      <c r="P13" s="14" t="n">
        <v>23</v>
      </c>
      <c r="Q13" s="12" t="n">
        <v>153.9</v>
      </c>
      <c r="R13" s="14" t="n">
        <v>23</v>
      </c>
      <c r="S13" s="12" t="n">
        <v>0</v>
      </c>
      <c r="T13" s="14" t="n">
        <v>0</v>
      </c>
      <c r="U13" s="12" t="n">
        <v>0</v>
      </c>
      <c r="V13" s="14" t="n">
        <v>0</v>
      </c>
      <c r="W13" s="12" t="n">
        <f aca="false">S13+U13</f>
        <v>0</v>
      </c>
    </row>
    <row r="14" customFormat="false" ht="23.85" hidden="false" customHeight="false" outlineLevel="0" collapsed="false">
      <c r="A14" s="9" t="s">
        <v>58</v>
      </c>
      <c r="B14" s="9" t="s">
        <v>59</v>
      </c>
      <c r="C14" s="9" t="s">
        <v>31</v>
      </c>
      <c r="D14" s="10" t="s">
        <v>32</v>
      </c>
      <c r="E14" s="9" t="s">
        <v>33</v>
      </c>
      <c r="F14" s="9" t="s">
        <v>34</v>
      </c>
      <c r="G14" s="11" t="n">
        <f aca="false">H14+I14+J14</f>
        <v>9.3</v>
      </c>
      <c r="H14" s="12" t="n">
        <f aca="false">IF(P14&gt;0,ROUND(K14/P14,1),0)</f>
        <v>3.4</v>
      </c>
      <c r="I14" s="12" t="n">
        <f aca="false">IF(R14&gt;0,ROUND(Q14/R14,1),0)</f>
        <v>5.9</v>
      </c>
      <c r="J14" s="13" t="n">
        <v>0</v>
      </c>
      <c r="K14" s="12" t="n">
        <f aca="false">L14+M14+N14</f>
        <v>62</v>
      </c>
      <c r="L14" s="12" t="n">
        <v>60</v>
      </c>
      <c r="M14" s="12" t="n">
        <v>0</v>
      </c>
      <c r="N14" s="12" t="n">
        <v>2</v>
      </c>
      <c r="O14" s="14" t="n">
        <v>62</v>
      </c>
      <c r="P14" s="14" t="n">
        <v>18</v>
      </c>
      <c r="Q14" s="12" t="n">
        <v>141.6</v>
      </c>
      <c r="R14" s="14" t="n">
        <v>24</v>
      </c>
      <c r="S14" s="12" t="n">
        <v>0</v>
      </c>
      <c r="T14" s="14" t="n">
        <v>0</v>
      </c>
      <c r="U14" s="12" t="n">
        <v>0</v>
      </c>
      <c r="V14" s="14" t="n">
        <v>0</v>
      </c>
      <c r="W14" s="12" t="n">
        <f aca="false">S14+U14</f>
        <v>0</v>
      </c>
    </row>
    <row r="15" customFormat="false" ht="15" hidden="false" customHeight="false" outlineLevel="0" collapsed="false">
      <c r="A15" s="9" t="s">
        <v>60</v>
      </c>
      <c r="B15" s="9" t="s">
        <v>61</v>
      </c>
      <c r="C15" s="9" t="s">
        <v>31</v>
      </c>
      <c r="D15" s="10" t="s">
        <v>37</v>
      </c>
      <c r="E15" s="9" t="s">
        <v>38</v>
      </c>
      <c r="F15" s="9" t="s">
        <v>39</v>
      </c>
      <c r="G15" s="11" t="n">
        <f aca="false">H15+I15+J15</f>
        <v>9.2</v>
      </c>
      <c r="H15" s="12" t="n">
        <f aca="false">IF(P15&gt;0,ROUND(K15/P15,1),0)</f>
        <v>3.8</v>
      </c>
      <c r="I15" s="12" t="n">
        <f aca="false">IF(R15&gt;0,ROUND(Q15/R15,1),0)</f>
        <v>5.4</v>
      </c>
      <c r="J15" s="13" t="n">
        <v>0</v>
      </c>
      <c r="K15" s="12" t="n">
        <f aca="false">L15+M15+N15</f>
        <v>92.1</v>
      </c>
      <c r="L15" s="12" t="n">
        <v>5.3</v>
      </c>
      <c r="M15" s="12" t="n">
        <v>0</v>
      </c>
      <c r="N15" s="12" t="n">
        <v>86.8</v>
      </c>
      <c r="O15" s="14" t="n">
        <v>49</v>
      </c>
      <c r="P15" s="14" t="n">
        <v>24</v>
      </c>
      <c r="Q15" s="12" t="n">
        <v>101.9</v>
      </c>
      <c r="R15" s="14" t="n">
        <v>19</v>
      </c>
      <c r="S15" s="12" t="n">
        <v>0</v>
      </c>
      <c r="T15" s="14" t="n">
        <v>0</v>
      </c>
      <c r="U15" s="12" t="n">
        <v>0</v>
      </c>
      <c r="V15" s="14" t="n">
        <v>0</v>
      </c>
      <c r="W15" s="12" t="n">
        <f aca="false">S15+U15</f>
        <v>0</v>
      </c>
    </row>
    <row r="16" customFormat="false" ht="15" hidden="false" customHeight="false" outlineLevel="0" collapsed="false">
      <c r="A16" s="9" t="s">
        <v>62</v>
      </c>
      <c r="B16" s="9" t="s">
        <v>63</v>
      </c>
      <c r="C16" s="9" t="s">
        <v>31</v>
      </c>
      <c r="D16" s="10" t="s">
        <v>64</v>
      </c>
      <c r="E16" s="9" t="s">
        <v>33</v>
      </c>
      <c r="F16" s="9" t="s">
        <v>65</v>
      </c>
      <c r="G16" s="11" t="n">
        <f aca="false">H16+I16+J16</f>
        <v>9.18</v>
      </c>
      <c r="H16" s="12" t="n">
        <f aca="false">IF(P16&gt;0,ROUND(K16/P16,1),0)</f>
        <v>5</v>
      </c>
      <c r="I16" s="12" t="n">
        <f aca="false">IF(R16&gt;0,ROUND(Q16/R16,1),0)</f>
        <v>3.2</v>
      </c>
      <c r="J16" s="13" t="n">
        <v>0.98</v>
      </c>
      <c r="K16" s="12" t="n">
        <f aca="false">L16+M16+N16</f>
        <v>5</v>
      </c>
      <c r="L16" s="12" t="n">
        <v>1.7</v>
      </c>
      <c r="M16" s="12" t="n">
        <v>3.3</v>
      </c>
      <c r="N16" s="12" t="n">
        <v>0</v>
      </c>
      <c r="O16" s="14" t="n">
        <v>6</v>
      </c>
      <c r="P16" s="14" t="n">
        <v>1</v>
      </c>
      <c r="Q16" s="12" t="n">
        <v>57.6</v>
      </c>
      <c r="R16" s="14" t="n">
        <v>18</v>
      </c>
      <c r="S16" s="12" t="n">
        <v>8.5</v>
      </c>
      <c r="T16" s="14" t="n">
        <v>12</v>
      </c>
      <c r="U16" s="12" t="n">
        <v>4.3</v>
      </c>
      <c r="V16" s="14" t="n">
        <v>16</v>
      </c>
      <c r="W16" s="12" t="n">
        <f aca="false">S16+U16</f>
        <v>12.8</v>
      </c>
    </row>
    <row r="17" customFormat="false" ht="15" hidden="false" customHeight="false" outlineLevel="0" collapsed="false">
      <c r="A17" s="15" t="s">
        <v>66</v>
      </c>
      <c r="B17" s="15"/>
      <c r="C17" s="15"/>
      <c r="D17" s="15"/>
      <c r="E17" s="15"/>
      <c r="F17" s="15"/>
      <c r="G17" s="16" t="n">
        <f aca="false">AVERAGE(G6:G16)</f>
        <v>10.9909090909091</v>
      </c>
      <c r="H17" s="17" t="n">
        <f aca="false">AVERAGE(H6:H16)</f>
        <v>3.7</v>
      </c>
      <c r="I17" s="17" t="n">
        <f aca="false">AVERAGE(I6:I16)</f>
        <v>7.04545454545455</v>
      </c>
      <c r="J17" s="16" t="n">
        <f aca="false">AVERAGE(J6:J16)</f>
        <v>0.245454545454545</v>
      </c>
      <c r="K17" s="17" t="n">
        <f aca="false">SUM(K6:K16)</f>
        <v>653.7</v>
      </c>
      <c r="L17" s="17" t="n">
        <f aca="false">SUM(L6:L16)</f>
        <v>353.3</v>
      </c>
      <c r="M17" s="17" t="n">
        <f aca="false">SUM(M6:M16)</f>
        <v>20.3</v>
      </c>
      <c r="N17" s="17" t="n">
        <f aca="false">SUM(N6:N16)</f>
        <v>280.1</v>
      </c>
      <c r="O17" s="18" t="n">
        <f aca="false">SUM(O6:O16)</f>
        <v>509</v>
      </c>
      <c r="P17" s="18" t="n">
        <f aca="false">SUM(P6:P16)</f>
        <v>186</v>
      </c>
      <c r="Q17" s="17" t="n">
        <f aca="false">SUM(Q6:Q16)</f>
        <v>1777.6</v>
      </c>
      <c r="R17" s="18" t="n">
        <f aca="false">SUM(R6:R16)</f>
        <v>247</v>
      </c>
      <c r="S17" s="17" t="n">
        <f aca="false">SUM(S6:S16)</f>
        <v>16.6</v>
      </c>
      <c r="T17" s="18" t="n">
        <f aca="false">SUM(T6:T16)</f>
        <v>26</v>
      </c>
      <c r="U17" s="17" t="n">
        <f aca="false">SUM(U6:U16)</f>
        <v>6.5</v>
      </c>
      <c r="V17" s="18" t="n">
        <f aca="false">SUM(V6:V16)</f>
        <v>28</v>
      </c>
      <c r="W17" s="17" t="n">
        <f aca="false">SUM(W6:W16)</f>
        <v>23.1</v>
      </c>
    </row>
    <row r="18" customFormat="false" ht="15" hidden="false" customHeight="false" outlineLevel="0" collapsed="false">
      <c r="A18" s="2" t="s">
        <v>67</v>
      </c>
    </row>
  </sheetData>
  <mergeCells count="5">
    <mergeCell ref="A4:F4"/>
    <mergeCell ref="G4:J4"/>
    <mergeCell ref="K4:P4"/>
    <mergeCell ref="Q4:R4"/>
    <mergeCell ref="S4:W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9" t="s">
        <v>68</v>
      </c>
    </row>
    <row r="2" customFormat="false" ht="15" hidden="false" customHeight="false" outlineLevel="0" collapsed="false">
      <c r="A2" s="20" t="s">
        <v>69</v>
      </c>
    </row>
    <row r="3" customFormat="false" ht="15" hidden="false" customHeight="false" outlineLevel="0" collapsed="false">
      <c r="A3" s="20" t="s">
        <v>70</v>
      </c>
    </row>
    <row r="4" customFormat="false" ht="15" hidden="false" customHeight="false" outlineLevel="0" collapsed="false">
      <c r="A4" s="20" t="s">
        <v>71</v>
      </c>
    </row>
    <row r="5" customFormat="false" ht="15" hidden="false" customHeight="false" outlineLevel="0" collapsed="false">
      <c r="A5" s="20" t="s">
        <v>72</v>
      </c>
    </row>
    <row r="6" customFormat="false" ht="15" hidden="false" customHeight="false" outlineLevel="0" collapsed="false">
      <c r="A6" s="20" t="s">
        <v>73</v>
      </c>
    </row>
    <row r="7" customFormat="false" ht="15" hidden="false" customHeight="false" outlineLevel="0" collapsed="false">
      <c r="A7" s="20"/>
    </row>
    <row r="8" customFormat="false" ht="15" hidden="false" customHeight="false" outlineLevel="0" collapsed="false">
      <c r="A8" s="19" t="s">
        <v>74</v>
      </c>
    </row>
    <row r="9" customFormat="false" ht="15" hidden="false" customHeight="false" outlineLevel="0" collapsed="false">
      <c r="A9" s="20" t="s">
        <v>75</v>
      </c>
    </row>
    <row r="10" customFormat="false" ht="15" hidden="false" customHeight="false" outlineLevel="0" collapsed="false">
      <c r="A10" s="20" t="s">
        <v>76</v>
      </c>
    </row>
    <row r="11" customFormat="false" ht="15" hidden="false" customHeight="false" outlineLevel="0" collapsed="false">
      <c r="A11" s="20" t="s">
        <v>77</v>
      </c>
    </row>
    <row r="12" customFormat="false" ht="15" hidden="false" customHeight="false" outlineLevel="0" collapsed="false">
      <c r="A12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2026-10-17T12:02:46Z</dcterms:created>
  <dc:creator>openpyxl</dc:creator>
  <dc:description/>
  <dc:language>en-US</dc:language>
  <cp:lastModifiedBy/>
  <dcterms:modified xsi:type="dcterms:W3CDTF">2026-10-17T12:02:46Z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